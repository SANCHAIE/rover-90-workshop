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อุปกรณ์ประจำชุด" sheetId="1" state="visible" r:id="rId3"/>
    <sheet name="ของส่วนกลาง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<sst xmlns="http://schemas.openxmlformats.org/spreadsheetml/2006/main" count="126" uniqueCount="99">
  <si>
    <t xml:space="preserve">รายการอุปกรณ์  ROVER 90</t>
  </si>
  <si>
    <t xml:space="preserve">ใบเช็กของ ไม่มีราคา  ใช้ตอนแบ่งของใส่กล่องและตอนเก็บของคืนหลังจบคาบ</t>
  </si>
  <si>
    <t xml:space="preserve">จำนวนทีม →</t>
  </si>
  <si>
    <t xml:space="preserve">ทีม</t>
  </si>
  <si>
    <t xml:space="preserve">แก้ช่องสีเหลืองช่องเดียว คอลัมน์ 'รวมทุกทีม' คำนวณให้เอง</t>
  </si>
  <si>
    <t xml:space="preserve">ใช้จริงในคาบ 90 นาที</t>
  </si>
  <si>
    <t xml:space="preserve">ที่</t>
  </si>
  <si>
    <t xml:space="preserve">รายการ</t>
  </si>
  <si>
    <t xml:space="preserve">ต่อชุด</t>
  </si>
  <si>
    <t xml:space="preserve">รวมทุกทีม</t>
  </si>
  <si>
    <t xml:space="preserve">จัดแล้ว</t>
  </si>
  <si>
    <t xml:space="preserve">ใช้ตอนไหน</t>
  </si>
  <si>
    <t xml:space="preserve">หมายเหตุ</t>
  </si>
  <si>
    <t xml:space="preserve">ESP32 WiFi NodeMCU Dual Cores 30 Pin Type-C</t>
  </si>
  <si>
    <t xml:space="preserve">ทุกช่วง</t>
  </si>
  <si>
    <t xml:space="preserve">สมองของรถ</t>
  </si>
  <si>
    <t xml:space="preserve">ESP32 NodeMCU Base ฐาน 30 Pin</t>
  </si>
  <si>
    <t xml:space="preserve">ทำให้เดินสายง่ายขึ้นมาก</t>
  </si>
  <si>
    <t xml:space="preserve">แชสซีรถ 2WD พร้อมมอเตอร์และล้อ</t>
  </si>
  <si>
    <t xml:space="preserve">ครูประกอบส่วนกลไกมาให้ก่อนวันงาน</t>
  </si>
  <si>
    <t xml:space="preserve">L298N Motor Drive Module</t>
  </si>
  <si>
    <t xml:space="preserve">ถอด jumper ครอบ ENA/ENB ออกก่อนแจก</t>
  </si>
  <si>
    <t xml:space="preserve">HC-SR04 Ultrasonic Sensor Module</t>
  </si>
  <si>
    <t xml:space="preserve">ส่วนที่ 4-5</t>
  </si>
  <si>
    <t xml:space="preserve">ขา ECHO ต้องผ่านตัวแบ่งแรงดัน</t>
  </si>
  <si>
    <t xml:space="preserve">จอ OLED 0.96 นิ้ว I2C (SSD1306)</t>
  </si>
  <si>
    <t xml:space="preserve">จ่ายไฟ 3.3V เท่านั้น ห้าม 5V</t>
  </si>
  <si>
    <t xml:space="preserve">Buzzer active 5V</t>
  </si>
  <si>
    <t xml:space="preserve">ส่วนที่ 4</t>
  </si>
  <si>
    <t xml:space="preserve">ต่อกลับขั้วแล้วเงียบ ไม่พัง</t>
  </si>
  <si>
    <t xml:space="preserve">สายไฟจัมเปอร์ M-M / M-F / F-F</t>
  </si>
  <si>
    <t xml:space="preserve">ส่วนที่ 1</t>
  </si>
  <si>
    <t xml:space="preserve">1 ชุดต่อทีม</t>
  </si>
  <si>
    <t xml:space="preserve">ตัวต้านทาน 1 kOhm</t>
  </si>
  <si>
    <t xml:space="preserve">คู่กับ 2 kOhm ทำตัวแบ่งแรงดันขา ECHO</t>
  </si>
  <si>
    <t xml:space="preserve">ตัวต้านทาน 2 kOhm</t>
  </si>
  <si>
    <t xml:space="preserve">บัดกรีติดสาย ECHO ไว้ล่วงหน้าได้เลย</t>
  </si>
  <si>
    <t xml:space="preserve">คาปาซิเตอร์ 470-1000 uF 16V</t>
  </si>
  <si>
    <t xml:space="preserve">คร่อม 5V-GND กันบอร์ดรีบูตตอนมอเตอร์กระชาก</t>
  </si>
  <si>
    <t xml:space="preserve">Mini breadboard 170 จุด</t>
  </si>
  <si>
    <t xml:space="preserve">ที่ลงตัวต้านทานและพ่วง GND ร่วม</t>
  </si>
  <si>
    <t xml:space="preserve">กล่องถ่าน 18650 แบบ 2 ก้อน</t>
  </si>
  <si>
    <t xml:space="preserve">เลือกแบบมีสวิตช์ปิด-เปิด</t>
  </si>
  <si>
    <t xml:space="preserve">ถ่าน 18650 Li-ion 3.7V</t>
  </si>
  <si>
    <t xml:space="preserve">ต้องชาร์จเต็มทุกก้อนก่อนเข้าห้อง</t>
  </si>
  <si>
    <t xml:space="preserve">สาย USB Type-C</t>
  </si>
  <si>
    <t xml:space="preserve">ยาว 30 ซม. สั้นไป เตรียมสายต่อไว้ด้วย</t>
  </si>
  <si>
    <t xml:space="preserve">กล่องเก็บอุปกรณ์</t>
  </si>
  <si>
    <t xml:space="preserve">ใช้เก็บคืนหลังจบคาบ</t>
  </si>
  <si>
    <t xml:space="preserve">ซื้อมาแล้วแต่ไม่ได้ใช้ในคาบนี้ · เก็บไว้ต่อยอด</t>
  </si>
  <si>
    <t xml:space="preserve">Line tracking Infrared 3 Way Module</t>
  </si>
  <si>
    <t xml:space="preserve">ไม่ใช้ในคาบนี้</t>
  </si>
  <si>
    <t xml:space="preserve">เก็บไว้ทำเซนเซอร์กันตกขอบโต๊ะรุ่นถัดไป</t>
  </si>
  <si>
    <t xml:space="preserve">SG90 Servo Motor 180 องศา</t>
  </si>
  <si>
    <t xml:space="preserve">เก็บไว้ทำ radar scanner รุ่นถัดไป</t>
  </si>
  <si>
    <t xml:space="preserve">Speed sensor LM393 (encoder)</t>
  </si>
  <si>
    <t xml:space="preserve">เก็บไว้ทำโหมดวัดระยะจากล้อจริง</t>
  </si>
  <si>
    <t xml:space="preserve">จานเข้ารหัส encoder disc</t>
  </si>
  <si>
    <t xml:space="preserve">ใช้คู่กับ LM393 ตรวจว่าแชสซีแถมมาแล้วหรือยัง</t>
  </si>
  <si>
    <t xml:space="preserve">ช่อง 'จัดแล้ว' ใช้ทำเครื่องหมายตอนแบ่งของใส่กล่อง และใช้ซ้ำตอนเก็บของคืนหลังจบคาบ</t>
  </si>
  <si>
    <t xml:space="preserve">ของส่วนกลาง  ไม่ได้อยู่ในใบเสนอราคา ต้องจัดหาเอง</t>
  </si>
  <si>
    <t xml:space="preserve">สองรายการแรกคือรายการที่ถ้าไม่มี กิจกรรมเดินไม่ได้จริง ๆ</t>
  </si>
  <si>
    <t xml:space="preserve">จำนวน</t>
  </si>
  <si>
    <t xml:space="preserve">ทำไมต้องมี</t>
  </si>
  <si>
    <t xml:space="preserve">เครื่องชาร์จถ่าน 18650 แบบ 4 ช่อง</t>
  </si>
  <si>
    <t xml:space="preserve">2 เครื่อง</t>
  </si>
  <si>
    <t xml:space="preserve">ถ่าน 30 ก้อนมาแบบไม่ได้ชาร์จ ต้องเต็มทุกก้อนก่อนเข้าห้อง ใช้เวลาราวหนึ่งคืน</t>
  </si>
  <si>
    <t xml:space="preserve">ตลับเมตร หรือไม้บรรทัดเหล็ก 50 ซม.</t>
  </si>
  <si>
    <t xml:space="preserve">เท่าจำนวนทีม</t>
  </si>
  <si>
    <t xml:space="preserve">ช่วงปรับจูนคือการวัดล้วน ๆ ทีมที่ไม่มีเครื่องมือวัดคือทีมที่นั่งดูเพื่อน</t>
  </si>
  <si>
    <t xml:space="preserve">ถ่าน 18650 สำรอง (นับเป็นคู่)</t>
  </si>
  <si>
    <t xml:space="preserve">4 คู่</t>
  </si>
  <si>
    <t xml:space="preserve">ถ่านที่ซื้อมาพอดี 30 ก้อน ไม่เหลือสำรองเลย เสียก้อนเดียวคือหยุดไปหนึ่งทีม</t>
  </si>
  <si>
    <t xml:space="preserve">รถสำรองที่ต่อสายเสร็จแล้ว</t>
  </si>
  <si>
    <t xml:space="preserve">2 คัน</t>
  </si>
  <si>
    <t xml:space="preserve">ไว้สลับให้ทีมที่ต่อผิดจนโมดูลไหม้ ห้ามหยุดทั้งห้องเพื่อซ่อมทีมเดียว</t>
  </si>
  <si>
    <t xml:space="preserve">มัลติมิเตอร์</t>
  </si>
  <si>
    <t xml:space="preserve">ใช้วัดไฟที่ขา 5V ของ L298N เวลาทีมไหนเปิดสวิตช์แล้วไม่มีอะไรติด</t>
  </si>
  <si>
    <t xml:space="preserve">สายต่อ USB หรือ USB hub</t>
  </si>
  <si>
    <t xml:space="preserve">5 เส้น</t>
  </si>
  <si>
    <t xml:space="preserve">สายที่ซื้อมายาว 30 ซม. ตอนอัปโหลดต้องยกรถขึ้นวางข้างคอม</t>
  </si>
  <si>
    <t xml:space="preserve">คอมพิวเตอร์ที่ลง Arduino IDE แล้ว</t>
  </si>
  <si>
    <t xml:space="preserve">ลง ESP32 board package ไลบรารี Adafruit และไดรเวอร์ USB ให้ครบทุกเครื่อง</t>
  </si>
  <si>
    <t xml:space="preserve">เทปกาวย่น</t>
  </si>
  <si>
    <t xml:space="preserve">3 ม้วน</t>
  </si>
  <si>
    <t xml:space="preserve">ให้เด็กเขียนชื่อทีมแปะรถ ตีเส้นสตาร์ท และทำเครื่องหมายระยะ 100 ซม.</t>
  </si>
  <si>
    <t xml:space="preserve">ปากกาเมจิก</t>
  </si>
  <si>
    <t xml:space="preserve">5 ด้าม</t>
  </si>
  <si>
    <t xml:space="preserve">เขียนบนเทปกาวย่น</t>
  </si>
  <si>
    <t xml:space="preserve">ปลั๊กพ่วง</t>
  </si>
  <si>
    <t xml:space="preserve">3 อัน</t>
  </si>
  <si>
    <t xml:space="preserve">จ่ายไฟให้คอมและเครื่องชาร์จ</t>
  </si>
  <si>
    <t xml:space="preserve">โปรเจกเตอร์หรือทีวี</t>
  </si>
  <si>
    <t xml:space="preserve">1</t>
  </si>
  <si>
    <t xml:space="preserve">ฉายผังการต่อสายให้ทั้งห้องดูตอนช่วงเดินสาย</t>
  </si>
  <si>
    <t xml:space="preserve">มือถือของนักเรียน</t>
  </si>
  <si>
    <t xml:space="preserve">ทีมละ 1 เครื่อง</t>
  </si>
  <si>
    <t xml:space="preserve">ใช้เชื่อม WiFi ของรถในส่วนที่ 5 เครื่องไหนก็ได้ ไม่ต้องมีเน็ต</t>
  </si>
  <si>
    <t xml:space="preserve">ไม่ต้องมีเราเตอร์แล้ว  ส่วน IoT ใช้ WiFi ที่ตัวรถปล่อยเอง ไม่พึ่งเครือข่ายใดทั้งสิ้น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</si>
</sst>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5"/>
      <color rgb="FF1F3A5F"/>
      <name val="Arial"/>
      <family val="0"/>
      <charset val="1"/>
    </font>
    <font>
      <b val="true"/>
      <sz val="11"/>
      <color rgb="FFA44E11"/>
      <name val="Arial"/>
      <family val="0"/>
      <charset val="1"/>
    </font>
    <font>
      <b val="true"/>
      <sz val="11"/>
      <color rgb="FF1F6B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EFEFEF"/>
        <bgColor rgb="FFFFF6E8"/>
      </patternFill>
    </fill>
    <fill>
      <patternFill patternType="solid">
        <fgColor rgb="FFFFF6E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4A"/>
      <rgbColor rgb="FFBFBFBF"/>
      <rgbColor rgb="FF808080"/>
      <rgbColor rgb="FF9999FF"/>
      <rgbColor rgb="FF993366"/>
      <rgbColor rgb="FFFFF6E8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A44E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4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6.15" hidden="false" customHeight="false" outlineLevel="0" collapsed="false">
      <c r="A4" s="3" t="s">
        <v>2</v>
      </c>
      <c r="B4" s="3"/>
      <c r="C4" s="4" t="n">
        <v>15</v>
      </c>
      <c r="D4" s="5" t="s">
        <v>3</v>
      </c>
      <c r="E4" s="2" t="s">
        <v>4</v>
      </c>
      <c r="F4" s="2"/>
      <c r="G4" s="2"/>
    </row>
    <row r="6" customFormat="false" ht="21.75" hidden="false" customHeight="true" outlineLevel="0" collapsed="false">
      <c r="A6" s="6" t="s">
        <v>5</v>
      </c>
      <c r="B6" s="6"/>
      <c r="C6" s="6"/>
      <c r="D6" s="6"/>
      <c r="E6" s="6"/>
      <c r="F6" s="6"/>
      <c r="G6" s="6"/>
    </row>
    <row r="7" customFormat="false" ht="27.75" hidden="false" customHeight="true" outlineLevel="0" collapsed="false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customFormat="false" ht="25.5" hidden="false" customHeight="true" outlineLevel="0" collapsed="false">
      <c r="A8" s="8" t="n">
        <v>1</v>
      </c>
      <c r="B8" s="9" t="s">
        <v>13</v>
      </c>
      <c r="C8" s="8" t="n">
        <v>1</v>
      </c>
      <c r="D8" s="8" t="n">
        <f aca="false">C8*$C$4</f>
        <v>15</v>
      </c>
      <c r="E8" s="8"/>
      <c r="F8" s="8" t="s">
        <v>14</v>
      </c>
      <c r="G8" s="10" t="s">
        <v>15</v>
      </c>
    </row>
    <row r="9" customFormat="false" ht="25.5" hidden="false" customHeight="true" outlineLevel="0" collapsed="false">
      <c r="A9" s="8" t="n">
        <v>2</v>
      </c>
      <c r="B9" s="9" t="s">
        <v>16</v>
      </c>
      <c r="C9" s="8" t="n">
        <v>1</v>
      </c>
      <c r="D9" s="8" t="n">
        <f aca="false">C9*$C$4</f>
        <v>15</v>
      </c>
      <c r="E9" s="8"/>
      <c r="F9" s="8" t="s">
        <v>14</v>
      </c>
      <c r="G9" s="10" t="s">
        <v>17</v>
      </c>
    </row>
    <row r="10" customFormat="false" ht="25.5" hidden="false" customHeight="true" outlineLevel="0" collapsed="false">
      <c r="A10" s="8" t="n">
        <v>3</v>
      </c>
      <c r="B10" s="9" t="s">
        <v>18</v>
      </c>
      <c r="C10" s="8" t="n">
        <v>1</v>
      </c>
      <c r="D10" s="8" t="n">
        <f aca="false">C10*$C$4</f>
        <v>15</v>
      </c>
      <c r="E10" s="8"/>
      <c r="F10" s="8" t="s">
        <v>14</v>
      </c>
      <c r="G10" s="10" t="s">
        <v>19</v>
      </c>
    </row>
    <row r="11" customFormat="false" ht="25.5" hidden="false" customHeight="true" outlineLevel="0" collapsed="false">
      <c r="A11" s="8" t="n">
        <v>4</v>
      </c>
      <c r="B11" s="9" t="s">
        <v>20</v>
      </c>
      <c r="C11" s="8" t="n">
        <v>1</v>
      </c>
      <c r="D11" s="8" t="n">
        <f aca="false">C11*$C$4</f>
        <v>15</v>
      </c>
      <c r="E11" s="8"/>
      <c r="F11" s="8" t="s">
        <v>14</v>
      </c>
      <c r="G11" s="10" t="s">
        <v>21</v>
      </c>
    </row>
    <row r="12" customFormat="false" ht="25.5" hidden="false" customHeight="true" outlineLevel="0" collapsed="false">
      <c r="A12" s="8" t="n">
        <v>5</v>
      </c>
      <c r="B12" s="9" t="s">
        <v>22</v>
      </c>
      <c r="C12" s="8" t="n">
        <v>1</v>
      </c>
      <c r="D12" s="8" t="n">
        <f aca="false">C12*$C$4</f>
        <v>15</v>
      </c>
      <c r="E12" s="8"/>
      <c r="F12" s="8" t="s">
        <v>23</v>
      </c>
      <c r="G12" s="10" t="s">
        <v>24</v>
      </c>
    </row>
    <row r="13" customFormat="false" ht="25.5" hidden="false" customHeight="true" outlineLevel="0" collapsed="false">
      <c r="A13" s="8" t="n">
        <v>6</v>
      </c>
      <c r="B13" s="9" t="s">
        <v>25</v>
      </c>
      <c r="C13" s="8" t="n">
        <v>1</v>
      </c>
      <c r="D13" s="8" t="n">
        <f aca="false">C13*$C$4</f>
        <v>15</v>
      </c>
      <c r="E13" s="8"/>
      <c r="F13" s="8" t="s">
        <v>14</v>
      </c>
      <c r="G13" s="10" t="s">
        <v>26</v>
      </c>
    </row>
    <row r="14" customFormat="false" ht="25.5" hidden="false" customHeight="true" outlineLevel="0" collapsed="false">
      <c r="A14" s="8" t="n">
        <v>7</v>
      </c>
      <c r="B14" s="9" t="s">
        <v>27</v>
      </c>
      <c r="C14" s="8" t="n">
        <v>1</v>
      </c>
      <c r="D14" s="8" t="n">
        <f aca="false">C14*$C$4</f>
        <v>15</v>
      </c>
      <c r="E14" s="8"/>
      <c r="F14" s="8" t="s">
        <v>28</v>
      </c>
      <c r="G14" s="10" t="s">
        <v>29</v>
      </c>
    </row>
    <row r="15" customFormat="false" ht="25.5" hidden="false" customHeight="true" outlineLevel="0" collapsed="false">
      <c r="A15" s="8" t="n">
        <v>8</v>
      </c>
      <c r="B15" s="9" t="s">
        <v>30</v>
      </c>
      <c r="C15" s="8" t="n">
        <v>1</v>
      </c>
      <c r="D15" s="8" t="n">
        <f aca="false">C15*$C$4</f>
        <v>15</v>
      </c>
      <c r="E15" s="8"/>
      <c r="F15" s="8" t="s">
        <v>31</v>
      </c>
      <c r="G15" s="10" t="s">
        <v>32</v>
      </c>
    </row>
    <row r="16" customFormat="false" ht="25.5" hidden="false" customHeight="true" outlineLevel="0" collapsed="false">
      <c r="A16" s="8" t="n">
        <v>9</v>
      </c>
      <c r="B16" s="9" t="s">
        <v>33</v>
      </c>
      <c r="C16" s="8" t="n">
        <v>1</v>
      </c>
      <c r="D16" s="8" t="n">
        <f aca="false">C16*$C$4</f>
        <v>15</v>
      </c>
      <c r="E16" s="8"/>
      <c r="F16" s="8" t="s">
        <v>31</v>
      </c>
      <c r="G16" s="10" t="s">
        <v>34</v>
      </c>
    </row>
    <row r="17" customFormat="false" ht="25.5" hidden="false" customHeight="true" outlineLevel="0" collapsed="false">
      <c r="A17" s="8" t="n">
        <v>10</v>
      </c>
      <c r="B17" s="9" t="s">
        <v>35</v>
      </c>
      <c r="C17" s="8" t="n">
        <v>1</v>
      </c>
      <c r="D17" s="8" t="n">
        <f aca="false">C17*$C$4</f>
        <v>15</v>
      </c>
      <c r="E17" s="8"/>
      <c r="F17" s="8" t="s">
        <v>31</v>
      </c>
      <c r="G17" s="10" t="s">
        <v>36</v>
      </c>
    </row>
    <row r="18" customFormat="false" ht="25.5" hidden="false" customHeight="true" outlineLevel="0" collapsed="false">
      <c r="A18" s="8" t="n">
        <v>11</v>
      </c>
      <c r="B18" s="9" t="s">
        <v>37</v>
      </c>
      <c r="C18" s="8" t="n">
        <v>1</v>
      </c>
      <c r="D18" s="8" t="n">
        <f aca="false">C18*$C$4</f>
        <v>15</v>
      </c>
      <c r="E18" s="8"/>
      <c r="F18" s="8" t="s">
        <v>31</v>
      </c>
      <c r="G18" s="10" t="s">
        <v>38</v>
      </c>
    </row>
    <row r="19" customFormat="false" ht="25.5" hidden="false" customHeight="true" outlineLevel="0" collapsed="false">
      <c r="A19" s="8" t="n">
        <v>12</v>
      </c>
      <c r="B19" s="9" t="s">
        <v>39</v>
      </c>
      <c r="C19" s="8" t="n">
        <v>1</v>
      </c>
      <c r="D19" s="8" t="n">
        <f aca="false">C19*$C$4</f>
        <v>15</v>
      </c>
      <c r="E19" s="8"/>
      <c r="F19" s="8" t="s">
        <v>31</v>
      </c>
      <c r="G19" s="10" t="s">
        <v>40</v>
      </c>
    </row>
    <row r="20" customFormat="false" ht="25.5" hidden="false" customHeight="true" outlineLevel="0" collapsed="false">
      <c r="A20" s="8" t="n">
        <v>13</v>
      </c>
      <c r="B20" s="9" t="s">
        <v>41</v>
      </c>
      <c r="C20" s="8" t="n">
        <v>1</v>
      </c>
      <c r="D20" s="8" t="n">
        <f aca="false">C20*$C$4</f>
        <v>15</v>
      </c>
      <c r="E20" s="8"/>
      <c r="F20" s="8" t="s">
        <v>14</v>
      </c>
      <c r="G20" s="10" t="s">
        <v>42</v>
      </c>
    </row>
    <row r="21" customFormat="false" ht="25.5" hidden="false" customHeight="true" outlineLevel="0" collapsed="false">
      <c r="A21" s="8" t="n">
        <v>14</v>
      </c>
      <c r="B21" s="9" t="s">
        <v>43</v>
      </c>
      <c r="C21" s="8" t="n">
        <v>2</v>
      </c>
      <c r="D21" s="8" t="n">
        <f aca="false">C21*$C$4</f>
        <v>30</v>
      </c>
      <c r="E21" s="8"/>
      <c r="F21" s="8" t="s">
        <v>14</v>
      </c>
      <c r="G21" s="10" t="s">
        <v>44</v>
      </c>
    </row>
    <row r="22" customFormat="false" ht="25.5" hidden="false" customHeight="true" outlineLevel="0" collapsed="false">
      <c r="A22" s="8" t="n">
        <v>15</v>
      </c>
      <c r="B22" s="9" t="s">
        <v>45</v>
      </c>
      <c r="C22" s="8" t="n">
        <v>1</v>
      </c>
      <c r="D22" s="8" t="n">
        <f aca="false">C22*$C$4</f>
        <v>15</v>
      </c>
      <c r="E22" s="8"/>
      <c r="F22" s="8" t="s">
        <v>14</v>
      </c>
      <c r="G22" s="10" t="s">
        <v>46</v>
      </c>
    </row>
    <row r="23" customFormat="false" ht="25.5" hidden="false" customHeight="true" outlineLevel="0" collapsed="false">
      <c r="A23" s="8" t="n">
        <v>16</v>
      </c>
      <c r="B23" s="9" t="s">
        <v>47</v>
      </c>
      <c r="C23" s="8" t="n">
        <v>1</v>
      </c>
      <c r="D23" s="8" t="n">
        <f aca="false">C23*$C$4</f>
        <v>15</v>
      </c>
      <c r="E23" s="8"/>
      <c r="F23" s="8" t="s">
        <v>14</v>
      </c>
      <c r="G23" s="10" t="s">
        <v>48</v>
      </c>
    </row>
    <row r="25" customFormat="false" ht="21.75" hidden="false" customHeight="true" outlineLevel="0" collapsed="false">
      <c r="A25" s="6" t="s">
        <v>49</v>
      </c>
      <c r="B25" s="6"/>
      <c r="C25" s="6"/>
      <c r="D25" s="6"/>
      <c r="E25" s="6"/>
      <c r="F25" s="6"/>
      <c r="G25" s="6"/>
    </row>
    <row r="26" customFormat="false" ht="27.75" hidden="false" customHeight="true" outlineLevel="0" collapsed="false">
      <c r="A26" s="7" t="s">
        <v>6</v>
      </c>
      <c r="B26" s="7" t="s">
        <v>7</v>
      </c>
      <c r="C26" s="7" t="s">
        <v>8</v>
      </c>
      <c r="D26" s="7" t="s">
        <v>9</v>
      </c>
      <c r="E26" s="7" t="s">
        <v>10</v>
      </c>
      <c r="F26" s="7" t="s">
        <v>11</v>
      </c>
      <c r="G26" s="7" t="s">
        <v>12</v>
      </c>
    </row>
    <row r="27" customFormat="false" ht="25.5" hidden="false" customHeight="true" outlineLevel="0" collapsed="false">
      <c r="A27" s="11" t="n">
        <v>1</v>
      </c>
      <c r="B27" s="12" t="s">
        <v>50</v>
      </c>
      <c r="C27" s="11" t="n">
        <v>1</v>
      </c>
      <c r="D27" s="11" t="n">
        <f aca="false">C27*$C$4</f>
        <v>15</v>
      </c>
      <c r="E27" s="11"/>
      <c r="F27" s="11" t="s">
        <v>51</v>
      </c>
      <c r="G27" s="13" t="s">
        <v>52</v>
      </c>
    </row>
    <row r="28" customFormat="false" ht="25.5" hidden="false" customHeight="true" outlineLevel="0" collapsed="false">
      <c r="A28" s="11" t="n">
        <v>2</v>
      </c>
      <c r="B28" s="12" t="s">
        <v>53</v>
      </c>
      <c r="C28" s="11" t="n">
        <v>1</v>
      </c>
      <c r="D28" s="11" t="n">
        <f aca="false">C28*$C$4</f>
        <v>15</v>
      </c>
      <c r="E28" s="11"/>
      <c r="F28" s="11" t="s">
        <v>51</v>
      </c>
      <c r="G28" s="13" t="s">
        <v>54</v>
      </c>
    </row>
    <row r="29" customFormat="false" ht="25.5" hidden="false" customHeight="true" outlineLevel="0" collapsed="false">
      <c r="A29" s="11" t="n">
        <v>3</v>
      </c>
      <c r="B29" s="12" t="s">
        <v>55</v>
      </c>
      <c r="C29" s="11" t="n">
        <v>2</v>
      </c>
      <c r="D29" s="11" t="n">
        <f aca="false">C29*$C$4</f>
        <v>30</v>
      </c>
      <c r="E29" s="11"/>
      <c r="F29" s="11" t="s">
        <v>51</v>
      </c>
      <c r="G29" s="13" t="s">
        <v>56</v>
      </c>
    </row>
    <row r="30" customFormat="false" ht="25.5" hidden="false" customHeight="true" outlineLevel="0" collapsed="false">
      <c r="A30" s="11" t="n">
        <v>4</v>
      </c>
      <c r="B30" s="12" t="s">
        <v>57</v>
      </c>
      <c r="C30" s="11" t="n">
        <v>1</v>
      </c>
      <c r="D30" s="11" t="n">
        <f aca="false">C30*$C$4</f>
        <v>15</v>
      </c>
      <c r="E30" s="11"/>
      <c r="F30" s="11" t="s">
        <v>51</v>
      </c>
      <c r="G30" s="13" t="s">
        <v>58</v>
      </c>
    </row>
    <row r="32" customFormat="false" ht="12.65" hidden="false" customHeight="false" outlineLevel="0" collapsed="false">
      <c r="A32" s="2" t="s">
        <v>59</v>
      </c>
      <c r="B32" s="2"/>
      <c r="C32" s="2"/>
      <c r="D32" s="2"/>
      <c r="E32" s="2"/>
      <c r="F32" s="2"/>
      <c r="G32" s="2"/>
    </row>
  </sheetData>
  <mergeCells count="7">
    <mergeCell ref="A1:G1"/>
    <mergeCell ref="A2:G2"/>
    <mergeCell ref="A4:B4"/>
    <mergeCell ref="E4:G4"/>
    <mergeCell ref="A6:G6"/>
    <mergeCell ref="A25:G25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52"/>
  </cols>
  <sheetData>
    <row r="1" customFormat="false" ht="24" hidden="false" customHeight="true" outlineLevel="0" collapsed="false">
      <c r="A1" s="14" t="s">
        <v>60</v>
      </c>
      <c r="B1" s="14"/>
      <c r="C1" s="14"/>
      <c r="D1" s="14"/>
      <c r="E1" s="14"/>
    </row>
    <row r="2" customFormat="false" ht="15" hidden="false" customHeight="false" outlineLevel="0" collapsed="false">
      <c r="A2" s="2" t="s">
        <v>61</v>
      </c>
      <c r="B2" s="2"/>
      <c r="C2" s="2"/>
      <c r="D2" s="2"/>
      <c r="E2" s="2"/>
    </row>
    <row r="4" customFormat="false" ht="25.5" hidden="false" customHeight="true" outlineLevel="0" collapsed="false">
      <c r="A4" s="7" t="s">
        <v>6</v>
      </c>
      <c r="B4" s="7" t="s">
        <v>7</v>
      </c>
      <c r="C4" s="7" t="s">
        <v>62</v>
      </c>
      <c r="D4" s="7" t="s">
        <v>10</v>
      </c>
      <c r="E4" s="7" t="s">
        <v>63</v>
      </c>
    </row>
    <row r="5" customFormat="false" ht="30" hidden="false" customHeight="true" outlineLevel="0" collapsed="false">
      <c r="A5" s="11" t="n">
        <v>1</v>
      </c>
      <c r="B5" s="15" t="s">
        <v>64</v>
      </c>
      <c r="C5" s="11" t="s">
        <v>65</v>
      </c>
      <c r="D5" s="11"/>
      <c r="E5" s="13" t="s">
        <v>66</v>
      </c>
    </row>
    <row r="6" customFormat="false" ht="30" hidden="false" customHeight="true" outlineLevel="0" collapsed="false">
      <c r="A6" s="11" t="n">
        <v>2</v>
      </c>
      <c r="B6" s="15" t="s">
        <v>67</v>
      </c>
      <c r="C6" s="11" t="s">
        <v>68</v>
      </c>
      <c r="D6" s="11"/>
      <c r="E6" s="13" t="s">
        <v>69</v>
      </c>
    </row>
    <row r="7" customFormat="false" ht="30" hidden="false" customHeight="true" outlineLevel="0" collapsed="false">
      <c r="A7" s="8" t="n">
        <v>3</v>
      </c>
      <c r="B7" s="9" t="s">
        <v>70</v>
      </c>
      <c r="C7" s="8" t="s">
        <v>71</v>
      </c>
      <c r="D7" s="8"/>
      <c r="E7" s="10" t="s">
        <v>72</v>
      </c>
    </row>
    <row r="8" customFormat="false" ht="30" hidden="false" customHeight="true" outlineLevel="0" collapsed="false">
      <c r="A8" s="8" t="n">
        <v>4</v>
      </c>
      <c r="B8" s="9" t="s">
        <v>73</v>
      </c>
      <c r="C8" s="8" t="s">
        <v>74</v>
      </c>
      <c r="D8" s="8"/>
      <c r="E8" s="10" t="s">
        <v>75</v>
      </c>
    </row>
    <row r="9" customFormat="false" ht="30" hidden="false" customHeight="true" outlineLevel="0" collapsed="false">
      <c r="A9" s="8" t="n">
        <v>5</v>
      </c>
      <c r="B9" s="9" t="s">
        <v>76</v>
      </c>
      <c r="C9" s="8" t="s">
        <v>65</v>
      </c>
      <c r="D9" s="8"/>
      <c r="E9" s="10" t="s">
        <v>77</v>
      </c>
    </row>
    <row r="10" customFormat="false" ht="30" hidden="false" customHeight="true" outlineLevel="0" collapsed="false">
      <c r="A10" s="8" t="n">
        <v>6</v>
      </c>
      <c r="B10" s="9" t="s">
        <v>78</v>
      </c>
      <c r="C10" s="8" t="s">
        <v>79</v>
      </c>
      <c r="D10" s="8"/>
      <c r="E10" s="10" t="s">
        <v>80</v>
      </c>
    </row>
    <row r="11" customFormat="false" ht="30" hidden="false" customHeight="true" outlineLevel="0" collapsed="false">
      <c r="A11" s="11" t="n">
        <v>7</v>
      </c>
      <c r="B11" s="15" t="s">
        <v>81</v>
      </c>
      <c r="C11" s="11" t="s">
        <v>68</v>
      </c>
      <c r="D11" s="11"/>
      <c r="E11" s="13" t="s">
        <v>82</v>
      </c>
    </row>
    <row r="12" customFormat="false" ht="30" hidden="false" customHeight="true" outlineLevel="0" collapsed="false">
      <c r="A12" s="8" t="n">
        <v>8</v>
      </c>
      <c r="B12" s="9" t="s">
        <v>83</v>
      </c>
      <c r="C12" s="8" t="s">
        <v>84</v>
      </c>
      <c r="D12" s="8"/>
      <c r="E12" s="10" t="s">
        <v>85</v>
      </c>
    </row>
    <row r="13" customFormat="false" ht="30" hidden="false" customHeight="true" outlineLevel="0" collapsed="false">
      <c r="A13" s="8" t="n">
        <v>9</v>
      </c>
      <c r="B13" s="9" t="s">
        <v>86</v>
      </c>
      <c r="C13" s="8" t="s">
        <v>87</v>
      </c>
      <c r="D13" s="8"/>
      <c r="E13" s="10" t="s">
        <v>88</v>
      </c>
    </row>
    <row r="14" customFormat="false" ht="30" hidden="false" customHeight="true" outlineLevel="0" collapsed="false">
      <c r="A14" s="8" t="n">
        <v>10</v>
      </c>
      <c r="B14" s="9" t="s">
        <v>89</v>
      </c>
      <c r="C14" s="8" t="s">
        <v>90</v>
      </c>
      <c r="D14" s="8"/>
      <c r="E14" s="10" t="s">
        <v>91</v>
      </c>
    </row>
    <row r="15" customFormat="false" ht="30" hidden="false" customHeight="true" outlineLevel="0" collapsed="false">
      <c r="A15" s="8" t="n">
        <v>11</v>
      </c>
      <c r="B15" s="9" t="s">
        <v>92</v>
      </c>
      <c r="C15" s="8" t="s">
        <v>93</v>
      </c>
      <c r="D15" s="8"/>
      <c r="E15" s="10" t="s">
        <v>94</v>
      </c>
    </row>
    <row r="16" customFormat="false" ht="30" hidden="false" customHeight="true" outlineLevel="0" collapsed="false">
      <c r="A16" s="8" t="n">
        <v>12</v>
      </c>
      <c r="B16" s="9" t="s">
        <v>95</v>
      </c>
      <c r="C16" s="8" t="s">
        <v>96</v>
      </c>
      <c r="D16" s="8"/>
      <c r="E16" s="10" t="s">
        <v>97</v>
      </c>
    </row>
    <row r="18" customFormat="false" ht="14.15" hidden="false" customHeight="false" outlineLevel="0" collapsed="false">
      <c r="A18" s="16" t="s">
        <v>98</v>
      </c>
      <c r="B18" s="16"/>
      <c r="C18" s="16"/>
      <c r="D18" s="16"/>
      <c r="E18" s="16"/>
    </row>
  </sheetData>
  <mergeCells count="3">
    <mergeCell ref="A1:E1"/>
    <mergeCell ref="A2:E2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2026-08-29T02:35:14Z</dcterms:created>
  <dc:creator>openpyxl</dc:creator>
  <dc:description/>
  <dc:language>en-US</dc:language>
  <cp:lastModifiedBy/>
  <dcterms:modified xsi:type="dcterms:W3CDTF">2026-08-29T02:35:14Z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