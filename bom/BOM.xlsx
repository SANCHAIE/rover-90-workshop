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เทียบกับใบเสนอราคาเดิม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<sst xmlns="http://schemas.openxmlformats.org/spreadsheetml/2006/main" count="148" uniqueCount="108">
  <si>
    <t xml:space="preserve">ใบสรุปรายการจัดซื้อ  —  ROVER WORKSHOP (ESP32 + STA WiFi)</t>
  </si>
  <si>
    <t xml:space="preserve">กิจกรรม 90 นาที · ระดับ ม.ปลาย · 1 ชุดต่อนักเรียน 2-3 คน</t>
  </si>
  <si>
    <t xml:space="preserve">กรอกจำนวนทีม →</t>
  </si>
  <si>
    <t xml:space="preserve">ทีม</t>
  </si>
  <si>
    <t xml:space="preserve">ช่องสีเหลืองคือช่องเดียวที่ต้องแก้ ที่เหลือคำนวณให้อัตโนมัติ</t>
  </si>
  <si>
    <t xml:space="preserve">กลุ่ม A · อุปกรณ์ตามใบเสนอราคาเดิม</t>
  </si>
  <si>
    <t xml:space="preserve">ที่</t>
  </si>
  <si>
    <t xml:space="preserve">รายการ</t>
  </si>
  <si>
    <t xml:space="preserve">ราคา/หน่วย</t>
  </si>
  <si>
    <t xml:space="preserve">จำนวน
ต่อชุด</t>
  </si>
  <si>
    <t xml:space="preserve">รวมต่อชุด</t>
  </si>
  <si>
    <t xml:space="preserve">รวมทุกทีม</t>
  </si>
  <si>
    <t xml:space="preserve">สถานะ</t>
  </si>
  <si>
    <t xml:space="preserve">หมายเหตุ</t>
  </si>
  <si>
    <t xml:space="preserve">ESP32 WiFi NodeMCU Dual Cores 30 Pin Type-C</t>
  </si>
  <si>
    <t xml:space="preserve">จำเป็น</t>
  </si>
  <si>
    <t xml:space="preserve">สมองของรถ</t>
  </si>
  <si>
    <t xml:space="preserve">ESP32 NodeMCU Base ฐาน 30 Pin</t>
  </si>
  <si>
    <t xml:space="preserve">ทำให้ต่อสายง่ายขึ้นมาก</t>
  </si>
  <si>
    <t xml:space="preserve">Smart car 2WD chassis</t>
  </si>
  <si>
    <t xml:space="preserve">ตรวจว่ามีจานเข้ารหัส (encoder disc) มาด้วยหรือไม่</t>
  </si>
  <si>
    <t xml:space="preserve">L298N Motor Drive Module</t>
  </si>
  <si>
    <t xml:space="preserve">ถอด jumper ENA/ENB ออกก่อนใช้</t>
  </si>
  <si>
    <t xml:space="preserve">HC-SR04 Ultrasonic Sensor Module</t>
  </si>
  <si>
    <t xml:space="preserve">ใช้ใน Lab 3 และ Lab 4</t>
  </si>
  <si>
    <t xml:space="preserve">Line tracking Infrared 3 Way Module</t>
  </si>
  <si>
    <t xml:space="preserve">ไม่ได้ใช้เดินตามเส้น แต่ใช้เป็นเซนเซอร์กันตกขอบโต๊ะ</t>
  </si>
  <si>
    <t xml:space="preserve">SG90 Servo Motor 180 องศา</t>
  </si>
  <si>
    <t xml:space="preserve">ทางเลือก</t>
  </si>
  <si>
    <t xml:space="preserve">โค้ด Lab 1-5 ไม่ได้ใช้ เก็บไว้ต่อยอด radar scanner</t>
  </si>
  <si>
    <t xml:space="preserve">สายไฟจัมเปอร์ M-M / M-F / F-F</t>
  </si>
  <si>
    <t xml:space="preserve">กล่องถ่าน 18650 2 ก้อน</t>
  </si>
  <si>
    <t xml:space="preserve">เลือกแบบมีสวิตช์ปิด-เปิด</t>
  </si>
  <si>
    <t xml:space="preserve">ถ่าน 18650 Li-ion 3.7V Panasonic</t>
  </si>
  <si>
    <t xml:space="preserve">รายการที่แพงที่สุด อย่าลดคุณภาพเพราะมีนักเรียนอยู่ด้วย</t>
  </si>
  <si>
    <t xml:space="preserve">สาย USB Type-C ยาว 1 เมตร</t>
  </si>
  <si>
    <t xml:space="preserve">เปลี่ยนจาก 30 ซม. เดิม สั้นเกินไปตอนอัปโหลด</t>
  </si>
  <si>
    <t xml:space="preserve">กล่องเก็บอุปกรณ์</t>
  </si>
  <si>
    <t xml:space="preserve">รวมกลุ่ม A</t>
  </si>
  <si>
    <t xml:space="preserve">กลุ่ม B · อุปกรณ์ที่เพิ่มจากการออกแบบกิจกรรมใหม่</t>
  </si>
  <si>
    <t xml:space="preserve">ตัวต้านทาน 1 kOhm (แบ่งแรงดันขา ECHO)</t>
  </si>
  <si>
    <t xml:space="preserve">ห้ามข้าม ไม่งั้น ESP32 ค่อยๆ พัง (ซื้อยกแพ็ค 100 ตัว ~20 บาท)</t>
  </si>
  <si>
    <t xml:space="preserve">ตัวต้านทาน 2 kOhm (แบ่งแรงดันขา ECHO)</t>
  </si>
  <si>
    <t xml:space="preserve">หรือใช้ 1 kOhm ต่ออนุกรม 2 ตัวแทนได้</t>
  </si>
  <si>
    <t xml:space="preserve">คาปาซิเตอร์ 470-1000 uF 16V</t>
  </si>
  <si>
    <t xml:space="preserve">คร่อม 5V-GND กันบอร์ดรีบูตตอนมอเตอร์กระชาก</t>
  </si>
  <si>
    <t xml:space="preserve">Mini breadboard 170 จุด</t>
  </si>
  <si>
    <t xml:space="preserve">แนะนำ</t>
  </si>
  <si>
    <t xml:space="preserve">ที่ลงตัวต้านทานและพ่วง GND ร่วม ถ้าไม่อยากบัดกรี</t>
  </si>
  <si>
    <t xml:space="preserve">จอ OLED 0.96 นิ้ว I2C (SSD1306)</t>
  </si>
  <si>
    <t xml:space="preserve">ประหยัดเวลาในคาบ เพราะไม่ต้องลากรถมาเสียบ USB ดู Serial</t>
  </si>
  <si>
    <t xml:space="preserve">Speed sensor LM393 (encoder)</t>
  </si>
  <si>
    <t xml:space="preserve">หัวใจของ Lab 2B วัดระยะจากล้อจริง ถ่านตกก็ไม่เพี้ยน</t>
  </si>
  <si>
    <t xml:space="preserve">Buzzer active 5V</t>
  </si>
  <si>
    <t xml:space="preserve">เสียงเตือนจอดรถแบบรถยนต์จริง ใน Lab 4</t>
  </si>
  <si>
    <t xml:space="preserve">จานเข้ารหัส encoder disc (ถ้าแชสซีไม่มีมาให้)</t>
  </si>
  <si>
    <t xml:space="preserve">เผื่อ</t>
  </si>
  <si>
    <t xml:space="preserve">ตรวจของในแชสซีก่อน ถ้ามีแล้วไม่ต้องซื้อ</t>
  </si>
  <si>
    <t xml:space="preserve">รวมกลุ่ม B</t>
  </si>
  <si>
    <t xml:space="preserve">กลุ่ม C · ของส่วนกลาง (ซื้อครั้งเดียว ไม่คูณจำนวนทีม)</t>
  </si>
  <si>
    <t xml:space="preserve">จำนวน</t>
  </si>
  <si>
    <t xml:space="preserve">รวม</t>
  </si>
  <si>
    <t xml:space="preserve">เราเตอร์ WiFi 2.4 GHz (ปิด AP Isolation ได้)</t>
  </si>
  <si>
    <t xml:space="preserve">ตัวหลัก 1 + สำรอง 1 อย่าใช้ WiFi ของโรงเรียน จะแก้ค่าไม่ได้</t>
  </si>
  <si>
    <t xml:space="preserve">เครื่องชาร์จ 18650 แบบ 4 ช่อง</t>
  </si>
  <si>
    <t xml:space="preserve">ถ่าน 18650 สำรอง (คู่)</t>
  </si>
  <si>
    <t xml:space="preserve">1 ชุดต่อ 3-4 ทีม ชาร์จเต็มรอไว้</t>
  </si>
  <si>
    <t xml:space="preserve">ตลับเมตร / ไม้บรรทัดเหล็ก 50 ซม.</t>
  </si>
  <si>
    <t xml:space="preserve">ทีมละ 1 อัน ปรับจำนวนตามจำนวนทีม</t>
  </si>
  <si>
    <t xml:space="preserve">เทปกาวย่น + สติกเกอร์ติดหมายเลข IP</t>
  </si>
  <si>
    <t xml:space="preserve">ปลั๊กพ่วง</t>
  </si>
  <si>
    <t xml:space="preserve">โต๊ะ/แผ่นไม้สำหรับภารกิจกันตกขอบ</t>
  </si>
  <si>
    <t xml:space="preserve">ใช้โต๊ะเรียนที่มีอยู่ได้</t>
  </si>
  <si>
    <t xml:space="preserve">รวมกลุ่ม C</t>
  </si>
  <si>
    <t xml:space="preserve">สรุปงบประมาณ</t>
  </si>
  <si>
    <t xml:space="preserve">ราคาต่อ 1 ชุด (กลุ่ม A + B)</t>
  </si>
  <si>
    <t xml:space="preserve">จำนวนทีม</t>
  </si>
  <si>
    <t xml:space="preserve">รวมค่าอุปกรณ์ทุกทีม</t>
  </si>
  <si>
    <t xml:space="preserve">รวมของส่วนกลาง</t>
  </si>
  <si>
    <t xml:space="preserve">รวมทั้งโครงการ</t>
  </si>
  <si>
    <t xml:space="preserve">เฉลี่ยต่อนักเรียน 1 คน (ทีมละ 3 คน)</t>
  </si>
  <si>
    <t xml:space="preserve">1. ราคาเป็นราคาประมาณการจากร้านอุปกรณ์อิเล็กทรอนิกส์ในประเทศไทย ควรขอใบเสนอราคาจริงก่อนเสนออนุมัติ</t>
  </si>
  <si>
    <t xml:space="preserve">2. กลุ่ม A ข้อ 7 (SG90 servo) ไม่ได้ถูกใช้ในโค้ด Lab 1-5 แต่แนะนำให้ซื้อไว้เพื่อต่อยอดกิจกรรมรุ่นถัดไป</t>
  </si>
  <si>
    <t xml:space="preserve">3. กลุ่ม B ข้อ 8 (จานเข้ารหัส) ให้ตรวจของในแชสซี 2WD ก่อน ส่วนใหญ่แถมมาให้แล้ว</t>
  </si>
  <si>
    <t xml:space="preserve">4. กลุ่ม C ข้อ 4 (ไม้บรรทัด) ตั้งจำนวนไว้ 10 อัน ให้ปรับตามจำนวนทีมจริงในช่อง D</t>
  </si>
  <si>
    <t xml:space="preserve">5. เราเตอร์ต้องเป็นตัวที่เข้าตั้งค่าเองได้ เพื่อปิด AP Isolation และล็อกช่องสัญญาณ 2.4 GHz</t>
  </si>
  <si>
    <t xml:space="preserve">สิ่งที่เปลี่ยนจากใบเสนอราคาเดิม (1,197 บาท/ชุด)</t>
  </si>
  <si>
    <t xml:space="preserve">เดิม</t>
  </si>
  <si>
    <t xml:space="preserve">ใหม่</t>
  </si>
  <si>
    <t xml:space="preserve">เหตุผล</t>
  </si>
  <si>
    <t xml:space="preserve">สาย USB Type-C</t>
  </si>
  <si>
    <t xml:space="preserve">เปลี่ยนจาก 30 ซม. เป็น 1 เมตร ของเดิมสั้นเกินไปตอนอัปโหลด</t>
  </si>
  <si>
    <t xml:space="preserve">ตัวต้านทาน 1k + 2k</t>
  </si>
  <si>
    <t xml:space="preserve">เพิ่มใหม่ - แบ่งแรงดันขา ECHO ป้องกัน ESP32 พัง</t>
  </si>
  <si>
    <t xml:space="preserve">คาปาซิเตอร์ 470-1000 uF</t>
  </si>
  <si>
    <t xml:space="preserve">เพิ่มใหม่ - กันบอร์ดรีบูตตอนมอเตอร์กระชาก</t>
  </si>
  <si>
    <t xml:space="preserve">Mini breadboard</t>
  </si>
  <si>
    <t xml:space="preserve">เพิ่มใหม่ - ที่ลงตัวต้านทานโดยไม่ต้องบัดกรี</t>
  </si>
  <si>
    <t xml:space="preserve">จอ OLED 0.96 นิ้ว I2C</t>
  </si>
  <si>
    <t xml:space="preserve">เพิ่มใหม่ - ประหยัดเวลาในคาบ ดูค่าได้โดยไม่ต้องเสียบ USB</t>
  </si>
  <si>
    <t xml:space="preserve">Speed sensor LM393 x2</t>
  </si>
  <si>
    <t xml:space="preserve">เพิ่มใหม่ - ทำ Lab 2B วัดระยะจากล้อจริง</t>
  </si>
  <si>
    <t xml:space="preserve">เพิ่มใหม่ - เสียงเตือนจอดรถใน Lab 4</t>
  </si>
  <si>
    <t xml:space="preserve">Line tracking IR 3 Way</t>
  </si>
  <si>
    <t xml:space="preserve">คงไว้ - เปลี่ยนบทบาทเป็นเซนเซอร์กันตกขอบโต๊ะ</t>
  </si>
  <si>
    <t xml:space="preserve">SG90 Servo</t>
  </si>
  <si>
    <t xml:space="preserve">คงไว้ - ไม่ได้ใช้ในคาบนี้ แต่เก็บไว้ต่อยอด</t>
  </si>
  <si>
    <t xml:space="preserve">ส่วนต่างรวม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</si>
</sst>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666666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444444"/>
      <name val="Arial"/>
      <family val="0"/>
      <charset val="1"/>
    </font>
    <font>
      <sz val="10"/>
      <color rgb="FF444444"/>
      <name val="Arial"/>
      <family val="0"/>
      <charset val="1"/>
    </font>
    <font>
      <b val="true"/>
      <sz val="14"/>
      <color rgb="FF1F3A5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99"/>
      </patternFill>
    </fill>
    <fill>
      <patternFill patternType="solid">
        <fgColor rgb="FFEFEFEF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FEFE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2.6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A4" s="3" t="s">
        <v>2</v>
      </c>
      <c r="B4" s="3"/>
      <c r="C4" s="4" t="n">
        <v>10</v>
      </c>
      <c r="D4" s="5" t="s">
        <v>3</v>
      </c>
      <c r="E4" s="2" t="s">
        <v>4</v>
      </c>
      <c r="F4" s="2"/>
      <c r="G4" s="2"/>
      <c r="H4" s="2"/>
    </row>
    <row r="6" customFormat="false" ht="21.75" hidden="false" customHeight="true" outlineLevel="0" collapsed="false">
      <c r="A6" s="6" t="s">
        <v>5</v>
      </c>
      <c r="B6" s="6"/>
      <c r="C6" s="6"/>
      <c r="D6" s="6"/>
      <c r="E6" s="6"/>
      <c r="F6" s="6"/>
      <c r="G6" s="6"/>
      <c r="H6" s="6"/>
    </row>
    <row r="7" customFormat="false" ht="30" hidden="false" customHeight="true" outlineLevel="0" collapsed="false">
      <c r="A7" s="7" t="s">
        <v>6</v>
      </c>
      <c r="B7" s="8" t="s">
        <v>7</v>
      </c>
      <c r="C7" s="9" t="s">
        <v>8</v>
      </c>
      <c r="D7" s="10" t="s">
        <v>9</v>
      </c>
      <c r="E7" s="9" t="s">
        <v>10</v>
      </c>
      <c r="F7" s="9" t="s">
        <v>11</v>
      </c>
      <c r="G7" s="7" t="s">
        <v>12</v>
      </c>
      <c r="H7" s="11" t="s">
        <v>13</v>
      </c>
    </row>
    <row r="8" customFormat="false" ht="15" hidden="false" customHeight="false" outlineLevel="0" collapsed="false">
      <c r="A8" s="12" t="n">
        <v>1</v>
      </c>
      <c r="B8" s="13" t="s">
        <v>14</v>
      </c>
      <c r="C8" s="14" t="n">
        <v>175</v>
      </c>
      <c r="D8" s="12" t="n">
        <v>1</v>
      </c>
      <c r="E8" s="14" t="n">
        <f aca="false">C8*D8</f>
        <v>175</v>
      </c>
      <c r="F8" s="14" t="n">
        <f aca="false">E8*$C$4</f>
        <v>1750</v>
      </c>
      <c r="G8" s="12" t="s">
        <v>15</v>
      </c>
      <c r="H8" s="15" t="s">
        <v>16</v>
      </c>
    </row>
    <row r="9" customFormat="false" ht="15" hidden="false" customHeight="false" outlineLevel="0" collapsed="false">
      <c r="A9" s="12" t="n">
        <v>2</v>
      </c>
      <c r="B9" s="13" t="s">
        <v>17</v>
      </c>
      <c r="C9" s="14" t="n">
        <v>50</v>
      </c>
      <c r="D9" s="12" t="n">
        <v>1</v>
      </c>
      <c r="E9" s="14" t="n">
        <f aca="false">C9*D9</f>
        <v>50</v>
      </c>
      <c r="F9" s="14" t="n">
        <f aca="false">E9*$C$4</f>
        <v>500</v>
      </c>
      <c r="G9" s="12" t="s">
        <v>15</v>
      </c>
      <c r="H9" s="15" t="s">
        <v>18</v>
      </c>
    </row>
    <row r="10" customFormat="false" ht="23.85" hidden="false" customHeight="false" outlineLevel="0" collapsed="false">
      <c r="A10" s="12" t="n">
        <v>3</v>
      </c>
      <c r="B10" s="13" t="s">
        <v>19</v>
      </c>
      <c r="C10" s="14" t="n">
        <v>150</v>
      </c>
      <c r="D10" s="12" t="n">
        <v>1</v>
      </c>
      <c r="E10" s="14" t="n">
        <f aca="false">C10*D10</f>
        <v>150</v>
      </c>
      <c r="F10" s="14" t="n">
        <f aca="false">E10*$C$4</f>
        <v>1500</v>
      </c>
      <c r="G10" s="12" t="s">
        <v>15</v>
      </c>
      <c r="H10" s="15" t="s">
        <v>20</v>
      </c>
    </row>
    <row r="11" customFormat="false" ht="15" hidden="false" customHeight="false" outlineLevel="0" collapsed="false">
      <c r="A11" s="12" t="n">
        <v>4</v>
      </c>
      <c r="B11" s="13" t="s">
        <v>21</v>
      </c>
      <c r="C11" s="14" t="n">
        <v>55</v>
      </c>
      <c r="D11" s="12" t="n">
        <v>1</v>
      </c>
      <c r="E11" s="14" t="n">
        <f aca="false">C11*D11</f>
        <v>55</v>
      </c>
      <c r="F11" s="14" t="n">
        <f aca="false">E11*$C$4</f>
        <v>550</v>
      </c>
      <c r="G11" s="12" t="s">
        <v>15</v>
      </c>
      <c r="H11" s="15" t="s">
        <v>22</v>
      </c>
    </row>
    <row r="12" customFormat="false" ht="15" hidden="false" customHeight="false" outlineLevel="0" collapsed="false">
      <c r="A12" s="12" t="n">
        <v>5</v>
      </c>
      <c r="B12" s="13" t="s">
        <v>23</v>
      </c>
      <c r="C12" s="14" t="n">
        <v>38</v>
      </c>
      <c r="D12" s="12" t="n">
        <v>1</v>
      </c>
      <c r="E12" s="14" t="n">
        <f aca="false">C12*D12</f>
        <v>38</v>
      </c>
      <c r="F12" s="14" t="n">
        <f aca="false">E12*$C$4</f>
        <v>380</v>
      </c>
      <c r="G12" s="12" t="s">
        <v>15</v>
      </c>
      <c r="H12" s="15" t="s">
        <v>24</v>
      </c>
    </row>
    <row r="13" customFormat="false" ht="23.85" hidden="false" customHeight="false" outlineLevel="0" collapsed="false">
      <c r="A13" s="12" t="n">
        <v>6</v>
      </c>
      <c r="B13" s="13" t="s">
        <v>25</v>
      </c>
      <c r="C13" s="14" t="n">
        <v>70</v>
      </c>
      <c r="D13" s="12" t="n">
        <v>1</v>
      </c>
      <c r="E13" s="14" t="n">
        <f aca="false">C13*D13</f>
        <v>70</v>
      </c>
      <c r="F13" s="14" t="n">
        <f aca="false">E13*$C$4</f>
        <v>700</v>
      </c>
      <c r="G13" s="12" t="s">
        <v>15</v>
      </c>
      <c r="H13" s="15" t="s">
        <v>26</v>
      </c>
    </row>
    <row r="14" customFormat="false" ht="23.85" hidden="false" customHeight="false" outlineLevel="0" collapsed="false">
      <c r="A14" s="12" t="n">
        <v>7</v>
      </c>
      <c r="B14" s="13" t="s">
        <v>27</v>
      </c>
      <c r="C14" s="14" t="n">
        <v>55</v>
      </c>
      <c r="D14" s="12" t="n">
        <v>1</v>
      </c>
      <c r="E14" s="14" t="n">
        <f aca="false">C14*D14</f>
        <v>55</v>
      </c>
      <c r="F14" s="14" t="n">
        <f aca="false">E14*$C$4</f>
        <v>550</v>
      </c>
      <c r="G14" s="12" t="s">
        <v>28</v>
      </c>
      <c r="H14" s="15" t="s">
        <v>29</v>
      </c>
    </row>
    <row r="15" customFormat="false" ht="15" hidden="false" customHeight="false" outlineLevel="0" collapsed="false">
      <c r="A15" s="12" t="n">
        <v>8</v>
      </c>
      <c r="B15" s="13" t="s">
        <v>30</v>
      </c>
      <c r="C15" s="14" t="n">
        <v>84</v>
      </c>
      <c r="D15" s="12" t="n">
        <v>1</v>
      </c>
      <c r="E15" s="14" t="n">
        <f aca="false">C15*D15</f>
        <v>84</v>
      </c>
      <c r="F15" s="14" t="n">
        <f aca="false">E15*$C$4</f>
        <v>840</v>
      </c>
      <c r="G15" s="12" t="s">
        <v>15</v>
      </c>
      <c r="H15" s="15"/>
    </row>
    <row r="16" customFormat="false" ht="15" hidden="false" customHeight="false" outlineLevel="0" collapsed="false">
      <c r="A16" s="12" t="n">
        <v>9</v>
      </c>
      <c r="B16" s="13" t="s">
        <v>31</v>
      </c>
      <c r="C16" s="14" t="n">
        <v>15</v>
      </c>
      <c r="D16" s="12" t="n">
        <v>1</v>
      </c>
      <c r="E16" s="14" t="n">
        <f aca="false">C16*D16</f>
        <v>15</v>
      </c>
      <c r="F16" s="14" t="n">
        <f aca="false">E16*$C$4</f>
        <v>150</v>
      </c>
      <c r="G16" s="12" t="s">
        <v>15</v>
      </c>
      <c r="H16" s="15" t="s">
        <v>32</v>
      </c>
    </row>
    <row r="17" customFormat="false" ht="23.85" hidden="false" customHeight="false" outlineLevel="0" collapsed="false">
      <c r="A17" s="12" t="n">
        <v>10</v>
      </c>
      <c r="B17" s="13" t="s">
        <v>33</v>
      </c>
      <c r="C17" s="14" t="n">
        <v>170</v>
      </c>
      <c r="D17" s="12" t="n">
        <v>2</v>
      </c>
      <c r="E17" s="14" t="n">
        <f aca="false">C17*D17</f>
        <v>340</v>
      </c>
      <c r="F17" s="14" t="n">
        <f aca="false">E17*$C$4</f>
        <v>3400</v>
      </c>
      <c r="G17" s="12" t="s">
        <v>15</v>
      </c>
      <c r="H17" s="15" t="s">
        <v>34</v>
      </c>
    </row>
    <row r="18" customFormat="false" ht="23.85" hidden="false" customHeight="false" outlineLevel="0" collapsed="false">
      <c r="A18" s="12" t="n">
        <v>11</v>
      </c>
      <c r="B18" s="13" t="s">
        <v>35</v>
      </c>
      <c r="C18" s="14" t="n">
        <v>25</v>
      </c>
      <c r="D18" s="12" t="n">
        <v>1</v>
      </c>
      <c r="E18" s="14" t="n">
        <f aca="false">C18*D18</f>
        <v>25</v>
      </c>
      <c r="F18" s="14" t="n">
        <f aca="false">E18*$C$4</f>
        <v>250</v>
      </c>
      <c r="G18" s="12" t="s">
        <v>15</v>
      </c>
      <c r="H18" s="15" t="s">
        <v>36</v>
      </c>
    </row>
    <row r="19" customFormat="false" ht="15" hidden="false" customHeight="false" outlineLevel="0" collapsed="false">
      <c r="A19" s="12" t="n">
        <v>12</v>
      </c>
      <c r="B19" s="13" t="s">
        <v>37</v>
      </c>
      <c r="C19" s="14" t="n">
        <v>145</v>
      </c>
      <c r="D19" s="12" t="n">
        <v>1</v>
      </c>
      <c r="E19" s="14" t="n">
        <f aca="false">C19*D19</f>
        <v>145</v>
      </c>
      <c r="F19" s="14" t="n">
        <f aca="false">E19*$C$4</f>
        <v>1450</v>
      </c>
      <c r="G19" s="12" t="s">
        <v>15</v>
      </c>
      <c r="H19" s="15"/>
    </row>
    <row r="20" customFormat="false" ht="15" hidden="false" customHeight="false" outlineLevel="0" collapsed="false">
      <c r="A20" s="16"/>
      <c r="B20" s="17" t="s">
        <v>38</v>
      </c>
      <c r="C20" s="18"/>
      <c r="D20" s="16"/>
      <c r="E20" s="18" t="n">
        <f aca="false">SUM(E8:E19)</f>
        <v>1202</v>
      </c>
      <c r="F20" s="18" t="n">
        <f aca="false">SUM(F8:F19)</f>
        <v>12020</v>
      </c>
      <c r="G20" s="16"/>
      <c r="H20" s="19"/>
    </row>
    <row r="21" customFormat="false" ht="15" hidden="false" customHeight="false" outlineLevel="0" collapsed="false">
      <c r="A21" s="12"/>
      <c r="B21" s="13"/>
      <c r="C21" s="14"/>
      <c r="D21" s="12"/>
      <c r="E21" s="14"/>
      <c r="F21" s="14"/>
      <c r="G21" s="12"/>
      <c r="H21" s="15"/>
    </row>
    <row r="22" customFormat="false" ht="21.75" hidden="false" customHeight="true" outlineLevel="0" collapsed="false">
      <c r="A22" s="6" t="s">
        <v>39</v>
      </c>
      <c r="B22" s="6"/>
      <c r="C22" s="6"/>
      <c r="D22" s="6"/>
      <c r="E22" s="6"/>
      <c r="F22" s="6"/>
      <c r="G22" s="6"/>
      <c r="H22" s="6"/>
    </row>
    <row r="23" customFormat="false" ht="30" hidden="false" customHeight="true" outlineLevel="0" collapsed="false">
      <c r="A23" s="7" t="s">
        <v>6</v>
      </c>
      <c r="B23" s="8" t="s">
        <v>7</v>
      </c>
      <c r="C23" s="9" t="s">
        <v>8</v>
      </c>
      <c r="D23" s="10" t="s">
        <v>9</v>
      </c>
      <c r="E23" s="9" t="s">
        <v>10</v>
      </c>
      <c r="F23" s="9" t="s">
        <v>11</v>
      </c>
      <c r="G23" s="7" t="s">
        <v>12</v>
      </c>
      <c r="H23" s="11" t="s">
        <v>13</v>
      </c>
    </row>
    <row r="24" customFormat="false" ht="23.85" hidden="false" customHeight="false" outlineLevel="0" collapsed="false">
      <c r="A24" s="12" t="n">
        <v>1</v>
      </c>
      <c r="B24" s="13" t="s">
        <v>40</v>
      </c>
      <c r="C24" s="14" t="n">
        <v>1</v>
      </c>
      <c r="D24" s="12" t="n">
        <v>1</v>
      </c>
      <c r="E24" s="14" t="n">
        <f aca="false">C24*D24</f>
        <v>1</v>
      </c>
      <c r="F24" s="14" t="n">
        <f aca="false">E24*$C$4</f>
        <v>10</v>
      </c>
      <c r="G24" s="12" t="s">
        <v>15</v>
      </c>
      <c r="H24" s="15" t="s">
        <v>41</v>
      </c>
    </row>
    <row r="25" customFormat="false" ht="15" hidden="false" customHeight="false" outlineLevel="0" collapsed="false">
      <c r="A25" s="12" t="n">
        <v>2</v>
      </c>
      <c r="B25" s="13" t="s">
        <v>42</v>
      </c>
      <c r="C25" s="14" t="n">
        <v>1</v>
      </c>
      <c r="D25" s="12" t="n">
        <v>1</v>
      </c>
      <c r="E25" s="14" t="n">
        <f aca="false">C25*D25</f>
        <v>1</v>
      </c>
      <c r="F25" s="14" t="n">
        <f aca="false">E25*$C$4</f>
        <v>10</v>
      </c>
      <c r="G25" s="12" t="s">
        <v>15</v>
      </c>
      <c r="H25" s="15" t="s">
        <v>43</v>
      </c>
    </row>
    <row r="26" customFormat="false" ht="23.85" hidden="false" customHeight="false" outlineLevel="0" collapsed="false">
      <c r="A26" s="12" t="n">
        <v>3</v>
      </c>
      <c r="B26" s="13" t="s">
        <v>44</v>
      </c>
      <c r="C26" s="14" t="n">
        <v>5</v>
      </c>
      <c r="D26" s="12" t="n">
        <v>1</v>
      </c>
      <c r="E26" s="14" t="n">
        <f aca="false">C26*D26</f>
        <v>5</v>
      </c>
      <c r="F26" s="14" t="n">
        <f aca="false">E26*$C$4</f>
        <v>50</v>
      </c>
      <c r="G26" s="12" t="s">
        <v>15</v>
      </c>
      <c r="H26" s="15" t="s">
        <v>45</v>
      </c>
    </row>
    <row r="27" customFormat="false" ht="23.85" hidden="false" customHeight="false" outlineLevel="0" collapsed="false">
      <c r="A27" s="12" t="n">
        <v>4</v>
      </c>
      <c r="B27" s="13" t="s">
        <v>46</v>
      </c>
      <c r="C27" s="14" t="n">
        <v>25</v>
      </c>
      <c r="D27" s="12" t="n">
        <v>1</v>
      </c>
      <c r="E27" s="14" t="n">
        <f aca="false">C27*D27</f>
        <v>25</v>
      </c>
      <c r="F27" s="14" t="n">
        <f aca="false">E27*$C$4</f>
        <v>250</v>
      </c>
      <c r="G27" s="12" t="s">
        <v>47</v>
      </c>
      <c r="H27" s="15" t="s">
        <v>48</v>
      </c>
    </row>
    <row r="28" customFormat="false" ht="23.85" hidden="false" customHeight="false" outlineLevel="0" collapsed="false">
      <c r="A28" s="12" t="n">
        <v>5</v>
      </c>
      <c r="B28" s="13" t="s">
        <v>49</v>
      </c>
      <c r="C28" s="14" t="n">
        <v>90</v>
      </c>
      <c r="D28" s="12" t="n">
        <v>1</v>
      </c>
      <c r="E28" s="14" t="n">
        <f aca="false">C28*D28</f>
        <v>90</v>
      </c>
      <c r="F28" s="14" t="n">
        <f aca="false">E28*$C$4</f>
        <v>900</v>
      </c>
      <c r="G28" s="12" t="s">
        <v>47</v>
      </c>
      <c r="H28" s="15" t="s">
        <v>50</v>
      </c>
    </row>
    <row r="29" customFormat="false" ht="23.85" hidden="false" customHeight="false" outlineLevel="0" collapsed="false">
      <c r="A29" s="12" t="n">
        <v>6</v>
      </c>
      <c r="B29" s="13" t="s">
        <v>51</v>
      </c>
      <c r="C29" s="14" t="n">
        <v>25</v>
      </c>
      <c r="D29" s="12" t="n">
        <v>2</v>
      </c>
      <c r="E29" s="14" t="n">
        <f aca="false">C29*D29</f>
        <v>50</v>
      </c>
      <c r="F29" s="14" t="n">
        <f aca="false">E29*$C$4</f>
        <v>500</v>
      </c>
      <c r="G29" s="12" t="s">
        <v>47</v>
      </c>
      <c r="H29" s="15" t="s">
        <v>52</v>
      </c>
    </row>
    <row r="30" customFormat="false" ht="15" hidden="false" customHeight="false" outlineLevel="0" collapsed="false">
      <c r="A30" s="12" t="n">
        <v>7</v>
      </c>
      <c r="B30" s="13" t="s">
        <v>53</v>
      </c>
      <c r="C30" s="14" t="n">
        <v>10</v>
      </c>
      <c r="D30" s="12" t="n">
        <v>1</v>
      </c>
      <c r="E30" s="14" t="n">
        <f aca="false">C30*D30</f>
        <v>10</v>
      </c>
      <c r="F30" s="14" t="n">
        <f aca="false">E30*$C$4</f>
        <v>100</v>
      </c>
      <c r="G30" s="12" t="s">
        <v>47</v>
      </c>
      <c r="H30" s="15" t="s">
        <v>54</v>
      </c>
    </row>
    <row r="31" customFormat="false" ht="15" hidden="false" customHeight="false" outlineLevel="0" collapsed="false">
      <c r="A31" s="12" t="n">
        <v>8</v>
      </c>
      <c r="B31" s="13" t="s">
        <v>55</v>
      </c>
      <c r="C31" s="14" t="n">
        <v>15</v>
      </c>
      <c r="D31" s="12" t="n">
        <v>1</v>
      </c>
      <c r="E31" s="14" t="n">
        <f aca="false">C31*D31</f>
        <v>15</v>
      </c>
      <c r="F31" s="14" t="n">
        <f aca="false">E31*$C$4</f>
        <v>150</v>
      </c>
      <c r="G31" s="12" t="s">
        <v>56</v>
      </c>
      <c r="H31" s="15" t="s">
        <v>57</v>
      </c>
    </row>
    <row r="32" customFormat="false" ht="15" hidden="false" customHeight="false" outlineLevel="0" collapsed="false">
      <c r="A32" s="16"/>
      <c r="B32" s="17" t="s">
        <v>58</v>
      </c>
      <c r="C32" s="18"/>
      <c r="D32" s="16"/>
      <c r="E32" s="18" t="n">
        <f aca="false">SUM(E24:E31)</f>
        <v>197</v>
      </c>
      <c r="F32" s="18" t="n">
        <f aca="false">SUM(F24:F31)</f>
        <v>1970</v>
      </c>
      <c r="G32" s="16"/>
      <c r="H32" s="19"/>
    </row>
    <row r="33" customFormat="false" ht="15" hidden="false" customHeight="false" outlineLevel="0" collapsed="false">
      <c r="A33" s="12"/>
      <c r="B33" s="13"/>
      <c r="C33" s="14"/>
      <c r="D33" s="12"/>
      <c r="E33" s="14"/>
      <c r="F33" s="14"/>
      <c r="G33" s="12"/>
      <c r="H33" s="15"/>
    </row>
    <row r="34" customFormat="false" ht="21.75" hidden="false" customHeight="true" outlineLevel="0" collapsed="false">
      <c r="A34" s="6" t="s">
        <v>59</v>
      </c>
      <c r="B34" s="6"/>
      <c r="C34" s="6"/>
      <c r="D34" s="6"/>
      <c r="E34" s="6"/>
      <c r="F34" s="6"/>
      <c r="G34" s="6"/>
      <c r="H34" s="6"/>
    </row>
    <row r="35" customFormat="false" ht="30" hidden="false" customHeight="true" outlineLevel="0" collapsed="false">
      <c r="A35" s="7" t="s">
        <v>6</v>
      </c>
      <c r="B35" s="8" t="s">
        <v>7</v>
      </c>
      <c r="C35" s="9" t="s">
        <v>8</v>
      </c>
      <c r="D35" s="7" t="s">
        <v>60</v>
      </c>
      <c r="E35" s="9" t="s">
        <v>61</v>
      </c>
      <c r="F35" s="9"/>
      <c r="G35" s="7" t="s">
        <v>12</v>
      </c>
      <c r="H35" s="11" t="s">
        <v>13</v>
      </c>
    </row>
    <row r="36" customFormat="false" ht="23.85" hidden="false" customHeight="false" outlineLevel="0" collapsed="false">
      <c r="A36" s="12" t="n">
        <v>1</v>
      </c>
      <c r="B36" s="13" t="s">
        <v>62</v>
      </c>
      <c r="C36" s="14" t="n">
        <v>700</v>
      </c>
      <c r="D36" s="12" t="n">
        <v>2</v>
      </c>
      <c r="E36" s="14" t="n">
        <f aca="false">C36*D36</f>
        <v>1400</v>
      </c>
      <c r="F36" s="14"/>
      <c r="G36" s="12" t="s">
        <v>15</v>
      </c>
      <c r="H36" s="15" t="s">
        <v>63</v>
      </c>
    </row>
    <row r="37" customFormat="false" ht="15" hidden="false" customHeight="false" outlineLevel="0" collapsed="false">
      <c r="A37" s="12" t="n">
        <v>2</v>
      </c>
      <c r="B37" s="13" t="s">
        <v>64</v>
      </c>
      <c r="C37" s="14" t="n">
        <v>400</v>
      </c>
      <c r="D37" s="12" t="n">
        <v>2</v>
      </c>
      <c r="E37" s="14" t="n">
        <f aca="false">C37*D37</f>
        <v>800</v>
      </c>
      <c r="F37" s="14"/>
      <c r="G37" s="12" t="s">
        <v>15</v>
      </c>
      <c r="H37" s="15"/>
    </row>
    <row r="38" customFormat="false" ht="15" hidden="false" customHeight="false" outlineLevel="0" collapsed="false">
      <c r="A38" s="12" t="n">
        <v>3</v>
      </c>
      <c r="B38" s="13" t="s">
        <v>65</v>
      </c>
      <c r="C38" s="14" t="n">
        <v>340</v>
      </c>
      <c r="D38" s="12" t="n">
        <v>3</v>
      </c>
      <c r="E38" s="14" t="n">
        <f aca="false">C38*D38</f>
        <v>1020</v>
      </c>
      <c r="F38" s="14"/>
      <c r="G38" s="12" t="s">
        <v>15</v>
      </c>
      <c r="H38" s="15" t="s">
        <v>66</v>
      </c>
    </row>
    <row r="39" customFormat="false" ht="15" hidden="false" customHeight="false" outlineLevel="0" collapsed="false">
      <c r="A39" s="12" t="n">
        <v>4</v>
      </c>
      <c r="B39" s="13" t="s">
        <v>67</v>
      </c>
      <c r="C39" s="14" t="n">
        <v>40</v>
      </c>
      <c r="D39" s="12" t="n">
        <v>10</v>
      </c>
      <c r="E39" s="14" t="n">
        <f aca="false">C39*D39</f>
        <v>400</v>
      </c>
      <c r="F39" s="14"/>
      <c r="G39" s="12" t="s">
        <v>15</v>
      </c>
      <c r="H39" s="15" t="s">
        <v>68</v>
      </c>
    </row>
    <row r="40" customFormat="false" ht="15" hidden="false" customHeight="false" outlineLevel="0" collapsed="false">
      <c r="A40" s="12" t="n">
        <v>5</v>
      </c>
      <c r="B40" s="13" t="s">
        <v>69</v>
      </c>
      <c r="C40" s="14" t="n">
        <v>100</v>
      </c>
      <c r="D40" s="12" t="n">
        <v>1</v>
      </c>
      <c r="E40" s="14" t="n">
        <f aca="false">C40*D40</f>
        <v>100</v>
      </c>
      <c r="F40" s="14"/>
      <c r="G40" s="12" t="s">
        <v>15</v>
      </c>
      <c r="H40" s="15"/>
    </row>
    <row r="41" customFormat="false" ht="15" hidden="false" customHeight="false" outlineLevel="0" collapsed="false">
      <c r="A41" s="12" t="n">
        <v>6</v>
      </c>
      <c r="B41" s="13" t="s">
        <v>70</v>
      </c>
      <c r="C41" s="14" t="n">
        <v>250</v>
      </c>
      <c r="D41" s="12" t="n">
        <v>3</v>
      </c>
      <c r="E41" s="14" t="n">
        <f aca="false">C41*D41</f>
        <v>750</v>
      </c>
      <c r="F41" s="14"/>
      <c r="G41" s="12" t="s">
        <v>15</v>
      </c>
      <c r="H41" s="15"/>
    </row>
    <row r="42" customFormat="false" ht="15" hidden="false" customHeight="false" outlineLevel="0" collapsed="false">
      <c r="A42" s="12" t="n">
        <v>7</v>
      </c>
      <c r="B42" s="13" t="s">
        <v>71</v>
      </c>
      <c r="C42" s="14" t="n">
        <v>0</v>
      </c>
      <c r="D42" s="12" t="n">
        <v>1</v>
      </c>
      <c r="E42" s="14" t="n">
        <f aca="false">C42*D42</f>
        <v>0</v>
      </c>
      <c r="F42" s="14"/>
      <c r="G42" s="12" t="s">
        <v>56</v>
      </c>
      <c r="H42" s="15" t="s">
        <v>72</v>
      </c>
    </row>
    <row r="43" customFormat="false" ht="15" hidden="false" customHeight="false" outlineLevel="0" collapsed="false">
      <c r="A43" s="16"/>
      <c r="B43" s="17" t="s">
        <v>73</v>
      </c>
      <c r="C43" s="18"/>
      <c r="D43" s="16"/>
      <c r="E43" s="18" t="n">
        <f aca="false">SUM(E36:E42)</f>
        <v>4470</v>
      </c>
      <c r="F43" s="18"/>
      <c r="G43" s="16"/>
      <c r="H43" s="19"/>
    </row>
    <row r="44" customFormat="false" ht="15" hidden="false" customHeight="false" outlineLevel="0" collapsed="false">
      <c r="A44" s="12"/>
      <c r="B44" s="13"/>
      <c r="C44" s="14"/>
      <c r="D44" s="12"/>
      <c r="E44" s="14"/>
      <c r="F44" s="14"/>
      <c r="G44" s="12"/>
      <c r="H44" s="15"/>
    </row>
    <row r="45" customFormat="false" ht="21.75" hidden="false" customHeight="true" outlineLevel="0" collapsed="false">
      <c r="A45" s="6" t="s">
        <v>74</v>
      </c>
      <c r="B45" s="6"/>
      <c r="C45" s="6"/>
      <c r="D45" s="6"/>
      <c r="E45" s="6"/>
      <c r="F45" s="6"/>
      <c r="G45" s="6"/>
      <c r="H45" s="6"/>
    </row>
    <row r="46" customFormat="false" ht="15" hidden="false" customHeight="false" outlineLevel="0" collapsed="false">
      <c r="A46" s="16"/>
      <c r="B46" s="17" t="s">
        <v>75</v>
      </c>
      <c r="C46" s="18"/>
      <c r="D46" s="16"/>
      <c r="E46" s="18" t="n">
        <f aca="false">E20+E32</f>
        <v>1399</v>
      </c>
      <c r="F46" s="18"/>
      <c r="G46" s="16"/>
      <c r="H46" s="19"/>
    </row>
    <row r="47" customFormat="false" ht="15" hidden="false" customHeight="false" outlineLevel="0" collapsed="false">
      <c r="A47" s="16"/>
      <c r="B47" s="17" t="s">
        <v>76</v>
      </c>
      <c r="C47" s="18"/>
      <c r="D47" s="16"/>
      <c r="E47" s="18" t="n">
        <f aca="false">$C$4</f>
        <v>10</v>
      </c>
      <c r="F47" s="18"/>
      <c r="G47" s="16"/>
      <c r="H47" s="19"/>
    </row>
    <row r="48" customFormat="false" ht="15" hidden="false" customHeight="false" outlineLevel="0" collapsed="false">
      <c r="A48" s="16"/>
      <c r="B48" s="17" t="s">
        <v>77</v>
      </c>
      <c r="C48" s="18"/>
      <c r="D48" s="16"/>
      <c r="E48" s="18" t="n">
        <f aca="false">F20+F32</f>
        <v>13990</v>
      </c>
      <c r="F48" s="18"/>
      <c r="G48" s="16"/>
      <c r="H48" s="19"/>
    </row>
    <row r="49" customFormat="false" ht="15" hidden="false" customHeight="false" outlineLevel="0" collapsed="false">
      <c r="A49" s="16"/>
      <c r="B49" s="17" t="s">
        <v>78</v>
      </c>
      <c r="C49" s="18"/>
      <c r="D49" s="16"/>
      <c r="E49" s="18" t="n">
        <f aca="false">E43</f>
        <v>4470</v>
      </c>
      <c r="F49" s="18"/>
      <c r="G49" s="16"/>
      <c r="H49" s="19"/>
    </row>
    <row r="50" customFormat="false" ht="16.15" hidden="false" customHeight="false" outlineLevel="0" collapsed="false">
      <c r="A50" s="16"/>
      <c r="B50" s="20" t="s">
        <v>79</v>
      </c>
      <c r="C50" s="18"/>
      <c r="D50" s="16"/>
      <c r="E50" s="21" t="n">
        <f aca="false">E48+E49</f>
        <v>18460</v>
      </c>
      <c r="F50" s="18"/>
      <c r="G50" s="16"/>
      <c r="H50" s="19"/>
    </row>
    <row r="51" customFormat="false" ht="15" hidden="false" customHeight="false" outlineLevel="0" collapsed="false">
      <c r="A51" s="16"/>
      <c r="B51" s="17" t="s">
        <v>80</v>
      </c>
      <c r="C51" s="18"/>
      <c r="D51" s="16"/>
      <c r="E51" s="18" t="n">
        <f aca="false">E50/($C$4*3)</f>
        <v>615.333333333333</v>
      </c>
      <c r="F51" s="18"/>
      <c r="G51" s="16"/>
      <c r="H51" s="19"/>
    </row>
    <row r="52" customFormat="false" ht="15" hidden="false" customHeight="false" outlineLevel="0" collapsed="false">
      <c r="A52" s="16"/>
      <c r="B52" s="17"/>
      <c r="C52" s="18"/>
      <c r="D52" s="16"/>
      <c r="E52" s="18"/>
      <c r="F52" s="18"/>
      <c r="G52" s="16"/>
      <c r="H52" s="19"/>
    </row>
    <row r="54" customFormat="false" ht="15" hidden="false" customHeight="false" outlineLevel="0" collapsed="false">
      <c r="B54" s="22" t="s">
        <v>13</v>
      </c>
    </row>
    <row r="55" customFormat="false" ht="15" hidden="false" customHeight="false" outlineLevel="0" collapsed="false">
      <c r="B55" s="23" t="s">
        <v>81</v>
      </c>
    </row>
    <row r="56" customFormat="false" ht="15" hidden="false" customHeight="false" outlineLevel="0" collapsed="false">
      <c r="B56" s="23" t="s">
        <v>82</v>
      </c>
    </row>
    <row r="57" customFormat="false" ht="15" hidden="false" customHeight="false" outlineLevel="0" collapsed="false">
      <c r="B57" s="23" t="s">
        <v>83</v>
      </c>
    </row>
    <row r="58" customFormat="false" ht="15" hidden="false" customHeight="false" outlineLevel="0" collapsed="false">
      <c r="B58" s="23" t="s">
        <v>84</v>
      </c>
    </row>
    <row r="59" customFormat="false" ht="15" hidden="false" customHeight="false" outlineLevel="0" collapsed="false">
      <c r="B59" s="23" t="s">
        <v>85</v>
      </c>
    </row>
  </sheetData>
  <mergeCells count="8">
    <mergeCell ref="A1:H1"/>
    <mergeCell ref="A2:H2"/>
    <mergeCell ref="A4:B4"/>
    <mergeCell ref="E4:H4"/>
    <mergeCell ref="A6:H6"/>
    <mergeCell ref="A22:H22"/>
    <mergeCell ref="A34:H34"/>
    <mergeCell ref="A45:H4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40"/>
  </cols>
  <sheetData>
    <row r="1" customFormat="false" ht="17.15" hidden="false" customHeight="false" outlineLevel="0" collapsed="false">
      <c r="A1" s="24" t="s">
        <v>86</v>
      </c>
      <c r="B1" s="24"/>
      <c r="C1" s="24"/>
      <c r="D1" s="24"/>
      <c r="E1" s="24"/>
    </row>
    <row r="3" customFormat="false" ht="15" hidden="false" customHeight="false" outlineLevel="0" collapsed="false">
      <c r="A3" s="16" t="s">
        <v>6</v>
      </c>
      <c r="B3" s="16" t="s">
        <v>7</v>
      </c>
      <c r="C3" s="16" t="s">
        <v>87</v>
      </c>
      <c r="D3" s="16" t="s">
        <v>88</v>
      </c>
      <c r="E3" s="16" t="s">
        <v>89</v>
      </c>
    </row>
    <row r="4" customFormat="false" ht="23.85" hidden="false" customHeight="false" outlineLevel="0" collapsed="false">
      <c r="A4" s="12" t="n">
        <v>1</v>
      </c>
      <c r="B4" s="13" t="s">
        <v>90</v>
      </c>
      <c r="C4" s="14" t="n">
        <v>20</v>
      </c>
      <c r="D4" s="14" t="n">
        <v>25</v>
      </c>
      <c r="E4" s="15" t="s">
        <v>91</v>
      </c>
    </row>
    <row r="5" customFormat="false" ht="15" hidden="false" customHeight="false" outlineLevel="0" collapsed="false">
      <c r="A5" s="12" t="n">
        <v>2</v>
      </c>
      <c r="B5" s="13" t="s">
        <v>92</v>
      </c>
      <c r="C5" s="14" t="n">
        <v>0</v>
      </c>
      <c r="D5" s="14" t="n">
        <v>2</v>
      </c>
      <c r="E5" s="15" t="s">
        <v>93</v>
      </c>
    </row>
    <row r="6" customFormat="false" ht="15" hidden="false" customHeight="false" outlineLevel="0" collapsed="false">
      <c r="A6" s="12" t="n">
        <v>3</v>
      </c>
      <c r="B6" s="13" t="s">
        <v>94</v>
      </c>
      <c r="C6" s="14" t="n">
        <v>0</v>
      </c>
      <c r="D6" s="14" t="n">
        <v>5</v>
      </c>
      <c r="E6" s="15" t="s">
        <v>95</v>
      </c>
    </row>
    <row r="7" customFormat="false" ht="15" hidden="false" customHeight="false" outlineLevel="0" collapsed="false">
      <c r="A7" s="12" t="n">
        <v>4</v>
      </c>
      <c r="B7" s="13" t="s">
        <v>96</v>
      </c>
      <c r="C7" s="14" t="n">
        <v>0</v>
      </c>
      <c r="D7" s="14" t="n">
        <v>25</v>
      </c>
      <c r="E7" s="15" t="s">
        <v>97</v>
      </c>
    </row>
    <row r="8" customFormat="false" ht="23.85" hidden="false" customHeight="false" outlineLevel="0" collapsed="false">
      <c r="A8" s="12" t="n">
        <v>5</v>
      </c>
      <c r="B8" s="13" t="s">
        <v>98</v>
      </c>
      <c r="C8" s="14" t="n">
        <v>0</v>
      </c>
      <c r="D8" s="14" t="n">
        <v>90</v>
      </c>
      <c r="E8" s="15" t="s">
        <v>99</v>
      </c>
    </row>
    <row r="9" customFormat="false" ht="15" hidden="false" customHeight="false" outlineLevel="0" collapsed="false">
      <c r="A9" s="12" t="n">
        <v>6</v>
      </c>
      <c r="B9" s="13" t="s">
        <v>100</v>
      </c>
      <c r="C9" s="14" t="n">
        <v>0</v>
      </c>
      <c r="D9" s="14" t="n">
        <v>50</v>
      </c>
      <c r="E9" s="15" t="s">
        <v>101</v>
      </c>
    </row>
    <row r="10" customFormat="false" ht="15" hidden="false" customHeight="false" outlineLevel="0" collapsed="false">
      <c r="A10" s="12" t="n">
        <v>7</v>
      </c>
      <c r="B10" s="13" t="s">
        <v>53</v>
      </c>
      <c r="C10" s="14" t="n">
        <v>0</v>
      </c>
      <c r="D10" s="14" t="n">
        <v>10</v>
      </c>
      <c r="E10" s="15" t="s">
        <v>102</v>
      </c>
    </row>
    <row r="11" customFormat="false" ht="15" hidden="false" customHeight="false" outlineLevel="0" collapsed="false">
      <c r="A11" s="12" t="n">
        <v>8</v>
      </c>
      <c r="B11" s="13" t="s">
        <v>103</v>
      </c>
      <c r="C11" s="14" t="n">
        <v>70</v>
      </c>
      <c r="D11" s="14" t="n">
        <v>70</v>
      </c>
      <c r="E11" s="15" t="s">
        <v>104</v>
      </c>
    </row>
    <row r="12" customFormat="false" ht="15" hidden="false" customHeight="false" outlineLevel="0" collapsed="false">
      <c r="A12" s="12" t="n">
        <v>9</v>
      </c>
      <c r="B12" s="13" t="s">
        <v>105</v>
      </c>
      <c r="C12" s="14" t="n">
        <v>55</v>
      </c>
      <c r="D12" s="14" t="n">
        <v>55</v>
      </c>
      <c r="E12" s="15" t="s">
        <v>106</v>
      </c>
    </row>
    <row r="13" customFormat="false" ht="15" hidden="false" customHeight="false" outlineLevel="0" collapsed="false">
      <c r="A13" s="16"/>
      <c r="B13" s="17" t="s">
        <v>107</v>
      </c>
      <c r="C13" s="18" t="n">
        <f aca="false">SUM(C4:C12)</f>
        <v>145</v>
      </c>
      <c r="D13" s="18" t="n">
        <f aca="false">SUM(D4:D12)</f>
        <v>332</v>
      </c>
      <c r="E13" s="25" t="str">
        <f aca="false">"เพิ่มขึ้น "&amp;TEXT(D13-C13,"#,##0")&amp;" บาทต่อชุด"</f>
        <v>เพิ่มขึ้น 187 บาทต่อชุด</v>
      </c>
    </row>
  </sheetData>
  <mergeCells count="1">
    <mergeCell ref="A1:E1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2026-08-13T16:15:14Z</dcterms:created>
  <dc:creator>openpyxl</dc:creator>
  <dc:description/>
  <dc:language>en-US</dc:language>
  <cp:lastModifiedBy/>
  <dcterms:modified xsi:type="dcterms:W3CDTF">2026-08-13T16:15:14Z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